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hannel Performance" sheetId="2" state="visible" r:id="rId4"/>
    <sheet name="Reconciliation" sheetId="3" state="visible" r:id="rId5"/>
    <sheet name="Data Quality Find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<sst xmlns="http://schemas.openxmlformats.org/spreadsheetml/2006/main" count="58" uniqueCount="58">
  <si>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VeloRide CRM Analysis — Executive Summary</t>
  </si>
  <si>
    <t xml:space="preserve">Data through 2026-06-30 · built from clean layer (VeloRideCRM)</t>
  </si>
  <si>
    <t xml:space="preserve">Customers (deduplicated)</t>
  </si>
  <si>
    <t xml:space="preserve">Active in last 90 days</t>
  </si>
  <si>
    <t xml:space="preserve">90-day active rate</t>
  </si>
  <si>
    <t xml:space="preserve">Net revenue (valid completed rides)</t>
  </si>
  <si>
    <t xml:space="preserve">Uncollected revenue identified</t>
  </si>
  <si>
    <t xml:space="preserve">Over-collected (double charges)</t>
  </si>
  <si>
    <t xml:space="preserve">Reconciliation gap after audit</t>
  </si>
  <si>
    <t xml:space="preserve">Key insight</t>
  </si>
  <si>
    <t xml:space="preserve">Referral customers are 3.4x more likely to remain active than TikTok Ads customers (52.5% vs 15.7%).</t>
  </si>
  <si>
    <t xml:space="preserve">Recommendation: shift paid budget toward referral; fix payment capture (€7.7k recoverable).</t>
  </si>
  <si>
    <t xml:space="preserve">Hardcoded values sourced from SQL query outputs in 04_analysis_sql (run on VeloRideCRM clean layer).</t>
  </si>
  <si>
    <t xml:space="preserve">Channel performance — 90-day activity (as of 2026-06-30)</t>
  </si>
  <si>
    <t xml:space="preserve">Channel</t>
  </si>
  <si>
    <t xml:space="preserve">Users</t>
  </si>
  <si>
    <t xml:space="preserve">Active (90d)</t>
  </si>
  <si>
    <t xml:space="preserve">Active %</t>
  </si>
  <si>
    <t xml:space="preserve">Avg rides / user</t>
  </si>
  <si>
    <t xml:space="preserve">Avg revenue / user</t>
  </si>
  <si>
    <t xml:space="preserve">Referral</t>
  </si>
  <si>
    <t xml:space="preserve">Google Ads</t>
  </si>
  <si>
    <t xml:space="preserve">Meta Ads</t>
  </si>
  <si>
    <t xml:space="preserve">Organic</t>
  </si>
  <si>
    <t xml:space="preserve">TikTok Ads</t>
  </si>
  <si>
    <t xml:space="preserve">Total</t>
  </si>
  <si>
    <t xml:space="preserve">Source: 04_analysis_queries.sql (R2 channel ranking query), clean layer, VeloRideCRM</t>
  </si>
  <si>
    <t xml:space="preserve">Revenue reconciliation — rides vs payments</t>
  </si>
  <si>
    <t xml:space="preserve">Line item</t>
  </si>
  <si>
    <t xml:space="preserve">EUR</t>
  </si>
  <si>
    <t xml:space="preserve">Raw completed-rides revenue</t>
  </si>
  <si>
    <t xml:space="preserve">(−) duplicate rides from ETL re-run (2026-03-15)</t>
  </si>
  <si>
    <t xml:space="preserve">(−) refunds coded as negative fares</t>
  </si>
  <si>
    <t xml:space="preserve">(−) completed rides never charged</t>
  </si>
  <si>
    <t xml:space="preserve">(+) double-charged payments</t>
  </si>
  <si>
    <t xml:space="preserve">Reconciled rides-side total (=)</t>
  </si>
  <si>
    <t xml:space="preserve">Payments total (actual)</t>
  </si>
  <si>
    <t xml:space="preserve">Remaining unexplained gap</t>
  </si>
  <si>
    <t xml:space="preserve">Note: refund line adds back €3,389.99 because negative fares subtract a negative.</t>
  </si>
  <si>
    <t xml:space="preserve">Source: 02_audit_queries.sql reconciliation finale; values verified in UAT test T10.</t>
  </si>
  <si>
    <t xml:space="preserve">Data quality audit — 11 findings</t>
  </si>
  <si>
    <t xml:space="preserve">#</t>
  </si>
  <si>
    <t xml:space="preserve">Finding</t>
  </si>
  <si>
    <t xml:space="preserve">Rows affected</t>
  </si>
  <si>
    <t xml:space="preserve">Financial impact (EUR)</t>
  </si>
  <si>
    <t xml:space="preserve">Duplicate user rows</t>
  </si>
  <si>
    <t xml:space="preserve">Mixed date formats (DD.MM.YYYY)</t>
  </si>
  <si>
    <t xml:space="preserve">Impossible birth years</t>
  </si>
  <si>
    <t xml:space="preserve">Missing emails</t>
  </si>
  <si>
    <t xml:space="preserve">Duplicate ride_ids (ETL re-run 2026-03-15)</t>
  </si>
  <si>
    <t xml:space="preserve">Orphan rides (unknown user_id)</t>
  </si>
  <si>
    <t xml:space="preserve">Missing distance_km (GPS failure)</t>
  </si>
  <si>
    <t xml:space="preserve">Negative fares on completed rides (refunds)</t>
  </si>
  <si>
    <t xml:space="preserve">Cancelled rides charged above €8.50 cap</t>
  </si>
  <si>
    <t xml:space="preserve">Completed rides never charged</t>
  </si>
  <si>
    <t xml:space="preserve">Double-charged rides</t>
  </si>
  <si>
    <t xml:space="preserve">Total financial impact (absolute)</t>
  </si>
  <si>
    <t xml:space="preserve">Source: audit_findings.md / 02_audit_queries.sql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</si>
</sst>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&quot; €&quot;"/>
    <numFmt numFmtId="168" formatCode="#,##0.0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2000</v>
      </c>
    </row>
    <row r="5" customFormat="false" ht="15" hidden="false" customHeight="true" outlineLevel="0" collapsed="false">
      <c r="A5" s="4" t="s">
        <v>3</v>
      </c>
      <c r="B5" s="5" t="n">
        <v>763</v>
      </c>
    </row>
    <row r="6" customFormat="false" ht="15" hidden="false" customHeight="true" outlineLevel="0" collapsed="false">
      <c r="A6" s="4" t="s">
        <v>4</v>
      </c>
      <c r="B6" s="6" t="n">
        <f aca="false">'Channel Performance'!C9/'Channel Performance'!B9</f>
        <v>0.3815</v>
      </c>
    </row>
    <row r="7" customFormat="false" ht="15" hidden="false" customHeight="true" outlineLevel="0" collapsed="false">
      <c r="A7" s="4" t="s">
        <v>5</v>
      </c>
      <c r="B7" s="7" t="n">
        <v>632052.45</v>
      </c>
    </row>
    <row r="8" customFormat="false" ht="15" hidden="false" customHeight="true" outlineLevel="0" collapsed="false">
      <c r="A8" s="4" t="s">
        <v>6</v>
      </c>
      <c r="B8" s="7" t="n">
        <f aca="false">'Data Quality Findings'!D13</f>
        <v>7682.17</v>
      </c>
    </row>
    <row r="9" customFormat="false" ht="15" hidden="false" customHeight="true" outlineLevel="0" collapsed="false">
      <c r="A9" s="4" t="s">
        <v>7</v>
      </c>
      <c r="B9" s="7" t="n">
        <f aca="false">'Data Quality Findings'!D14</f>
        <v>6680.54</v>
      </c>
    </row>
    <row r="10" customFormat="false" ht="15" hidden="false" customHeight="true" outlineLevel="0" collapsed="false">
      <c r="A10" s="4" t="s">
        <v>8</v>
      </c>
      <c r="B10" s="7" t="n">
        <f aca="false">Reconciliation!B11</f>
        <v>0</v>
      </c>
    </row>
    <row r="12" customFormat="false" ht="15" hidden="false" customHeight="true" outlineLevel="0" collapsed="false">
      <c r="A12" s="8" t="s">
        <v>9</v>
      </c>
    </row>
    <row r="13" customFormat="false" ht="15" hidden="false" customHeight="true" outlineLevel="0" collapsed="false">
      <c r="A13" s="9" t="s">
        <v>10</v>
      </c>
    </row>
    <row r="14" customFormat="false" ht="15" hidden="false" customHeight="true" outlineLevel="0" collapsed="false">
      <c r="A14" s="9" t="s">
        <v>11</v>
      </c>
    </row>
    <row r="16" customFormat="false" ht="15" hidden="false" customHeight="true" outlineLevel="0" collapsed="false">
      <c r="A16" s="1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17"/>
  </cols>
  <sheetData>
    <row r="1" customFormat="false" ht="15" hidden="false" customHeight="true" outlineLevel="0" collapsed="false">
      <c r="A1" s="11" t="s">
        <v>13</v>
      </c>
    </row>
    <row r="3" customFormat="false" ht="15" hidden="false" customHeight="true" outlineLevel="0" collapsed="false">
      <c r="A3" s="12" t="s">
        <v>14</v>
      </c>
      <c r="B3" s="12" t="s">
        <v>15</v>
      </c>
      <c r="C3" s="12" t="s">
        <v>16</v>
      </c>
      <c r="D3" s="12" t="s">
        <v>17</v>
      </c>
      <c r="E3" s="12" t="s">
        <v>18</v>
      </c>
      <c r="F3" s="12" t="s">
        <v>19</v>
      </c>
    </row>
    <row r="4" customFormat="false" ht="15" hidden="false" customHeight="true" outlineLevel="0" collapsed="false">
      <c r="A4" s="4" t="s">
        <v>20</v>
      </c>
      <c r="B4" s="4" t="n">
        <v>425</v>
      </c>
      <c r="C4" s="4" t="n">
        <v>223</v>
      </c>
      <c r="D4" s="13" t="n">
        <f aca="false">C4/B4</f>
        <v>0.524705882352941</v>
      </c>
      <c r="E4" s="4" t="n">
        <v>13.7</v>
      </c>
      <c r="F4" s="14" t="n">
        <v>314.63</v>
      </c>
    </row>
    <row r="5" customFormat="false" ht="15" hidden="false" customHeight="true" outlineLevel="0" collapsed="false">
      <c r="A5" s="4" t="s">
        <v>21</v>
      </c>
      <c r="B5" s="4" t="n">
        <v>369</v>
      </c>
      <c r="C5" s="4" t="n">
        <v>177</v>
      </c>
      <c r="D5" s="13" t="n">
        <f aca="false">C5/B5</f>
        <v>0.479674796747968</v>
      </c>
      <c r="E5" s="4" t="n">
        <v>13.6</v>
      </c>
      <c r="F5" s="14" t="n">
        <v>312.51</v>
      </c>
    </row>
    <row r="6" customFormat="false" ht="15" hidden="false" customHeight="true" outlineLevel="0" collapsed="false">
      <c r="A6" s="4" t="s">
        <v>22</v>
      </c>
      <c r="B6" s="4" t="n">
        <v>414</v>
      </c>
      <c r="C6" s="4" t="n">
        <v>168</v>
      </c>
      <c r="D6" s="13" t="n">
        <f aca="false">C6/B6</f>
        <v>0.405797101449275</v>
      </c>
      <c r="E6" s="4" t="n">
        <v>13.8</v>
      </c>
      <c r="F6" s="14" t="n">
        <v>319.75</v>
      </c>
    </row>
    <row r="7" customFormat="false" ht="15" hidden="false" customHeight="true" outlineLevel="0" collapsed="false">
      <c r="A7" s="4" t="s">
        <v>23</v>
      </c>
      <c r="B7" s="4" t="n">
        <v>396</v>
      </c>
      <c r="C7" s="4" t="n">
        <v>133</v>
      </c>
      <c r="D7" s="13" t="n">
        <f aca="false">C7/B7</f>
        <v>0.335858585858586</v>
      </c>
      <c r="E7" s="4" t="n">
        <v>13.8</v>
      </c>
      <c r="F7" s="14" t="n">
        <v>319.42</v>
      </c>
    </row>
    <row r="8" customFormat="false" ht="15" hidden="false" customHeight="true" outlineLevel="0" collapsed="false">
      <c r="A8" s="4" t="s">
        <v>24</v>
      </c>
      <c r="B8" s="4" t="n">
        <v>396</v>
      </c>
      <c r="C8" s="4" t="n">
        <v>62</v>
      </c>
      <c r="D8" s="13" t="n">
        <f aca="false">C8/B8</f>
        <v>0.156565656565657</v>
      </c>
      <c r="E8" s="4" t="n">
        <v>13.6</v>
      </c>
      <c r="F8" s="14" t="n">
        <v>313.52</v>
      </c>
    </row>
    <row r="9" customFormat="false" ht="15" hidden="false" customHeight="true" outlineLevel="0" collapsed="false">
      <c r="A9" s="8" t="s">
        <v>25</v>
      </c>
      <c r="B9" s="8" t="n">
        <f aca="false">SUM(B4:B8)</f>
        <v>2000</v>
      </c>
      <c r="C9" s="8" t="n">
        <f aca="false">SUM(C4:C8)</f>
        <v>763</v>
      </c>
      <c r="D9" s="15" t="n">
        <f aca="false">C9/B9</f>
        <v>0.3815</v>
      </c>
    </row>
    <row r="11" customFormat="false" ht="15" hidden="false" customHeight="true" outlineLevel="0" collapsed="false">
      <c r="A11" s="1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1" t="s">
        <v>27</v>
      </c>
    </row>
    <row r="3" customFormat="false" ht="15" hidden="false" customHeight="true" outlineLevel="0" collapsed="false">
      <c r="A3" s="12" t="s">
        <v>28</v>
      </c>
      <c r="B3" s="12" t="s">
        <v>29</v>
      </c>
    </row>
    <row r="4" customFormat="false" ht="15" hidden="false" customHeight="true" outlineLevel="0" collapsed="false">
      <c r="A4" s="9" t="s">
        <v>30</v>
      </c>
      <c r="B4" s="16" t="n">
        <v>632590.36</v>
      </c>
    </row>
    <row r="5" customFormat="false" ht="15" hidden="false" customHeight="true" outlineLevel="0" collapsed="false">
      <c r="A5" s="9" t="s">
        <v>31</v>
      </c>
      <c r="B5" s="16" t="n">
        <v>-2804.91</v>
      </c>
    </row>
    <row r="6" customFormat="false" ht="15" hidden="false" customHeight="true" outlineLevel="0" collapsed="false">
      <c r="A6" s="9" t="s">
        <v>32</v>
      </c>
      <c r="B6" s="16" t="n">
        <v>3389.99</v>
      </c>
    </row>
    <row r="7" customFormat="false" ht="15" hidden="false" customHeight="true" outlineLevel="0" collapsed="false">
      <c r="A7" s="9" t="s">
        <v>33</v>
      </c>
      <c r="B7" s="16" t="n">
        <v>-7682.17</v>
      </c>
    </row>
    <row r="8" customFormat="false" ht="15" hidden="false" customHeight="true" outlineLevel="0" collapsed="false">
      <c r="A8" s="9" t="s">
        <v>34</v>
      </c>
      <c r="B8" s="16" t="n">
        <v>6680.54</v>
      </c>
    </row>
    <row r="9" customFormat="false" ht="15" hidden="false" customHeight="true" outlineLevel="0" collapsed="false">
      <c r="A9" s="8" t="s">
        <v>35</v>
      </c>
      <c r="B9" s="17" t="n">
        <f aca="false">SUM(B4:B8)</f>
        <v>632173.81</v>
      </c>
    </row>
    <row r="10" customFormat="false" ht="15" hidden="false" customHeight="true" outlineLevel="0" collapsed="false">
      <c r="A10" s="8" t="s">
        <v>36</v>
      </c>
      <c r="B10" s="17" t="n">
        <v>632173.81</v>
      </c>
    </row>
    <row r="11" customFormat="false" ht="15" hidden="false" customHeight="true" outlineLevel="0" collapsed="false">
      <c r="A11" s="8" t="s">
        <v>37</v>
      </c>
      <c r="B11" s="17" t="n">
        <f aca="false">B9-B10</f>
        <v>0</v>
      </c>
    </row>
    <row r="13" customFormat="false" ht="15" hidden="false" customHeight="true" outlineLevel="0" collapsed="false">
      <c r="A13" s="10" t="s">
        <v>38</v>
      </c>
    </row>
    <row r="14" customFormat="false" ht="15" hidden="false" customHeight="true" outlineLevel="0" collapsed="false">
      <c r="A14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20"/>
  </cols>
  <sheetData>
    <row r="1" customFormat="false" ht="15" hidden="false" customHeight="true" outlineLevel="0" collapsed="false">
      <c r="A1" s="11" t="s">
        <v>40</v>
      </c>
    </row>
    <row r="3" customFormat="false" ht="15" hidden="false" customHeight="true" outlineLevel="0" collapsed="false">
      <c r="A3" s="12" t="s">
        <v>41</v>
      </c>
      <c r="B3" s="12" t="s">
        <v>42</v>
      </c>
      <c r="C3" s="12" t="s">
        <v>43</v>
      </c>
      <c r="D3" s="12" t="s">
        <v>44</v>
      </c>
    </row>
    <row r="4" customFormat="false" ht="15" hidden="false" customHeight="true" outlineLevel="0" collapsed="false">
      <c r="A4" s="4" t="n">
        <v>1</v>
      </c>
      <c r="B4" s="4" t="s">
        <v>45</v>
      </c>
      <c r="C4" s="4" t="n">
        <v>50</v>
      </c>
      <c r="D4" s="18"/>
    </row>
    <row r="5" customFormat="false" ht="15" hidden="false" customHeight="true" outlineLevel="0" collapsed="false">
      <c r="A5" s="4" t="n">
        <v>2</v>
      </c>
      <c r="B5" s="4" t="s">
        <v>46</v>
      </c>
      <c r="C5" s="4" t="n">
        <v>125</v>
      </c>
      <c r="D5" s="18"/>
    </row>
    <row r="6" customFormat="false" ht="15" hidden="false" customHeight="true" outlineLevel="0" collapsed="false">
      <c r="A6" s="4" t="n">
        <v>3</v>
      </c>
      <c r="B6" s="4" t="s">
        <v>47</v>
      </c>
      <c r="C6" s="4" t="n">
        <v>4</v>
      </c>
      <c r="D6" s="18"/>
    </row>
    <row r="7" customFormat="false" ht="15" hidden="false" customHeight="true" outlineLevel="0" collapsed="false">
      <c r="A7" s="4" t="n">
        <v>4</v>
      </c>
      <c r="B7" s="4" t="s">
        <v>48</v>
      </c>
      <c r="C7" s="4" t="n">
        <v>62</v>
      </c>
      <c r="D7" s="18"/>
    </row>
    <row r="8" customFormat="false" ht="15" hidden="false" customHeight="true" outlineLevel="0" collapsed="false">
      <c r="A8" s="4" t="n">
        <v>5</v>
      </c>
      <c r="B8" s="4" t="s">
        <v>49</v>
      </c>
      <c r="C8" s="4" t="n">
        <v>240</v>
      </c>
      <c r="D8" s="14" t="n">
        <v>2804.91</v>
      </c>
    </row>
    <row r="9" customFormat="false" ht="15" hidden="false" customHeight="true" outlineLevel="0" collapsed="false">
      <c r="A9" s="4" t="n">
        <v>6</v>
      </c>
      <c r="B9" s="4" t="s">
        <v>50</v>
      </c>
      <c r="C9" s="4" t="n">
        <v>60</v>
      </c>
      <c r="D9" s="14" t="n">
        <v>1122.99</v>
      </c>
    </row>
    <row r="10" customFormat="false" ht="15" hidden="false" customHeight="true" outlineLevel="0" collapsed="false">
      <c r="A10" s="4" t="n">
        <v>7</v>
      </c>
      <c r="B10" s="4" t="s">
        <v>51</v>
      </c>
      <c r="C10" s="4" t="n">
        <v>493</v>
      </c>
      <c r="D10" s="18"/>
    </row>
    <row r="11" customFormat="false" ht="15" hidden="false" customHeight="true" outlineLevel="0" collapsed="false">
      <c r="A11" s="4" t="n">
        <v>8</v>
      </c>
      <c r="B11" s="4" t="s">
        <v>52</v>
      </c>
      <c r="C11" s="4" t="n">
        <v>150</v>
      </c>
      <c r="D11" s="14" t="n">
        <v>-3389.99</v>
      </c>
    </row>
    <row r="12" customFormat="false" ht="15" hidden="false" customHeight="true" outlineLevel="0" collapsed="false">
      <c r="A12" s="4" t="n">
        <v>9</v>
      </c>
      <c r="B12" s="4" t="s">
        <v>53</v>
      </c>
      <c r="C12" s="4" t="n">
        <v>271</v>
      </c>
      <c r="D12" s="14" t="n">
        <v>4280.16</v>
      </c>
    </row>
    <row r="13" customFormat="false" ht="15" hidden="false" customHeight="true" outlineLevel="0" collapsed="false">
      <c r="A13" s="4" t="n">
        <v>10</v>
      </c>
      <c r="B13" s="4" t="s">
        <v>54</v>
      </c>
      <c r="C13" s="4" t="n">
        <v>346</v>
      </c>
      <c r="D13" s="14" t="n">
        <v>7682.17</v>
      </c>
    </row>
    <row r="14" customFormat="false" ht="15" hidden="false" customHeight="true" outlineLevel="0" collapsed="false">
      <c r="A14" s="4" t="n">
        <v>11</v>
      </c>
      <c r="B14" s="4" t="s">
        <v>55</v>
      </c>
      <c r="C14" s="4" t="n">
        <v>279</v>
      </c>
      <c r="D14" s="14" t="n">
        <v>6680.54</v>
      </c>
    </row>
    <row r="15" customFormat="false" ht="15" hidden="false" customHeight="true" outlineLevel="0" collapsed="false">
      <c r="B15" s="8" t="s">
        <v>56</v>
      </c>
      <c r="D15" s="17" t="n">
        <f aca="false">SUMPRODUCT(ABS(D4:D14))</f>
        <v>25960.76</v>
      </c>
    </row>
    <row r="17" customFormat="false" ht="15" hidden="false" customHeight="true" outlineLevel="0" collapsed="false">
      <c r="A17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2026-07-12T09:26:29Z</dcterms:created>
  <dc:creator>openpyxl</dc:creator>
  <dc:description/>
  <dc:language>en-US</dc:language>
  <cp:lastModifiedBy/>
  <dcterms:modified xsi:type="dcterms:W3CDTF">2026-07-12T09:26:43Z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